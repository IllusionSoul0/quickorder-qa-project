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s de test"/>
    <sheet r:id="rId2" sheetId="2" name="Synthèse"/>
  </sheets>
  <calcPr fullCalcOnLoad="1"/>
</workbook>
</file>

<file path=xl/sharedStrings.xml><?xml version="1.0" encoding="utf-8"?>
<sst xmlns="http://schemas.openxmlformats.org/spreadsheetml/2006/main" count="283" uniqueCount="208">
  <si>
    <t>Indicateur</t>
  </si>
  <si>
    <t>Valeur</t>
  </si>
  <si>
    <t>Total</t>
  </si>
  <si>
    <t>Pass</t>
  </si>
  <si>
    <t>Fail</t>
  </si>
  <si>
    <t>Blocked</t>
  </si>
  <si>
    <t>Skipped</t>
  </si>
  <si>
    <t>Taux de réussite</t>
  </si>
  <si>
    <t>ID</t>
  </si>
  <si>
    <t>Type</t>
  </si>
  <si>
    <t>Titre</t>
  </si>
  <si>
    <t>Objectif</t>
  </si>
  <si>
    <t>Préconditions</t>
  </si>
  <si>
    <t>Données</t>
  </si>
  <si>
    <t>Étapes</t>
  </si>
  <si>
    <t>Résultat attendu</t>
  </si>
  <si>
    <t>Résultat obtenu</t>
  </si>
  <si>
    <t>Statut</t>
  </si>
  <si>
    <t>Preuve</t>
  </si>
  <si>
    <t>NOM-01</t>
  </si>
  <si>
    <t>Nominal</t>
  </si>
  <si>
    <t>Connexion client valide</t>
  </si>
  <si>
    <t>Vérifier la connexion d&amp;apos;un client</t>
  </si>
  <si>
    <t>Compte alice créé (seed)</t>
  </si>
  <si>
    <t>alice@example.com / Password123!</t>
  </si>
  <si>
    <t>POST /login avec les identifiants</t>
  </si>
  <si>
    <t>302 vers / et session ouverte</t>
  </si>
  <si>
    <t>302 Location=/</t>
  </si>
  <si>
    <t>POST /login -&gt; 302</t>
  </si>
  <si>
    <t>NOM-02</t>
  </si>
  <si>
    <t>Inscription d&amp;apos;un nouveau client</t>
  </si>
  <si>
    <t>Vérifier la création de compte</t>
  </si>
  <si>
    <t>Email non utilisé</t>
  </si>
  <si>
    <t>QA Solo / qa.solo@example.com / Password123!</t>
  </si>
  <si>
    <t>POST /register</t>
  </si>
  <si>
    <t>302 vers / et compte créé</t>
  </si>
  <si>
    <t>POST /register -&gt; 302</t>
  </si>
  <si>
    <t>NOM-03</t>
  </si>
  <si>
    <t>Affichage de la liste des restaurants</t>
  </si>
  <si>
    <t>Vérifier l&amp;apos;affichage du catalogue</t>
  </si>
  <si>
    <t>Base seedée</t>
  </si>
  <si>
    <t>-</t>
  </si>
  <si>
    <t>GET /</t>
  </si>
  <si>
    <t>200 et 5 restaurants visibles (Burger Factory…)</t>
  </si>
  <si>
    <t>200, Burger Factory présent=True</t>
  </si>
  <si>
    <t>GET / -&gt; 200</t>
  </si>
  <si>
    <t>NOM-04</t>
  </si>
  <si>
    <t>Ajout d&amp;apos;un produit au panier (UI)</t>
  </si>
  <si>
    <t>Vérifier l&amp;apos;ajout au panier</t>
  </si>
  <si>
    <t>Client connecté, panier vide</t>
  </si>
  <si>
    <t>Produit 1 (Classic Burger, 11,90 €), qté 1</t>
  </si>
  <si>
    <t>POST /cart/clear ; POST /cart/add/1 ; GET /cart</t>
  </si>
  <si>
    <t>Classic Burger au panier, sous-total 11,90 €</t>
  </si>
  <si>
    <t>Classic Burger présent=True, 11.9 présent=True</t>
  </si>
  <si>
    <t>POST /cart/add/1 puis GET /cart -&gt; 200</t>
  </si>
  <si>
    <t>NOM-05</t>
  </si>
  <si>
    <t>Commande API payée par carte</t>
  </si>
  <si>
    <t>Vérifier une commande API standard</t>
  </si>
  <si>
    <t>Clé API valide, adresse par défaut</t>
  </si>
  <si>
    <t>product_id 1, qté 1, card</t>
  </si>
  <si>
    <t>POST /api/orders avec X-API-Key</t>
  </si>
  <si>
    <t>201, total = 11,90 + 2,99 = 14,89</t>
  </si>
  <si>
    <t>201, total=14.89</t>
  </si>
  <si>
    <t>POST /api/orders -&gt; 201 {"cash_received": null, "change_due": null, "created_at": "2026-10-11T15:46:41.178243", "delivery_fee": 2.99, "discount": 0.0, "id": 2, "items": [{"line_total": 11.9, "product_id": 1, "product_name": "Classic Burger", "quantity": 1, "unit_price": 11.9}], "payment_method": "card", "payment_status": "</t>
  </si>
  <si>
    <t>NOM-06</t>
  </si>
  <si>
    <t>Coupon WELCOME10 valide</t>
  </si>
  <si>
    <t>Vérifier le calcul d&amp;apos;un coupon valide</t>
  </si>
  <si>
    <t>WELCOME10 actif (10 %, min 20 €, max 8 €)</t>
  </si>
  <si>
    <t>code WELCOME10, subtotal 32.50</t>
  </si>
  <si>
    <t>POST /api/coupons/validate</t>
  </si>
  <si>
    <t>valid=true, discount=3.25</t>
  </si>
  <si>
    <t>200, {&amp;apos;code&amp;apos;: &amp;apos;WELCOME10&amp;apos;, &amp;apos;discount&amp;apos;: 3.25, &amp;apos;discount_percent&amp;apos;: 10.0, &amp;apos;valid&amp;apos;: True}</t>
  </si>
  <si>
    <t>POST /api/coupons/validate -&gt; 200 {"code": "WELCOME10", "discount": 3.25, "discount_percent": 10.0, "valid": true}</t>
  </si>
  <si>
    <t>LIM-01</t>
  </si>
  <si>
    <t>Limite</t>
  </si>
  <si>
    <t>Quantité API = 0</t>
  </si>
  <si>
    <t>Vérifier le rejet d&amp;apos;une quantité nulle</t>
  </si>
  <si>
    <t>Clé API valide</t>
  </si>
  <si>
    <t>product_id 1, qté 0</t>
  </si>
  <si>
    <t>POST /api/orders</t>
  </si>
  <si>
    <t>400</t>
  </si>
  <si>
    <t>POST /api/orders -&gt; 400 {"error": "quantity must be between 1 and 20"}</t>
  </si>
  <si>
    <t>LIM-02</t>
  </si>
  <si>
    <t>Quantité API = 21 (max 20)</t>
  </si>
  <si>
    <t>Vérifier la borne haute de quantité (20)</t>
  </si>
  <si>
    <t>product_id 1, qté 21</t>
  </si>
  <si>
    <t>LIM-03</t>
  </si>
  <si>
    <t>Coupon sous le minimum (19,99 € / min 20 €)</t>
  </si>
  <si>
    <t>Vérifier le minimum de coupon (juste en dessous)</t>
  </si>
  <si>
    <t>WELCOME10 actif</t>
  </si>
  <si>
    <t>subtotal 19.99</t>
  </si>
  <si>
    <t>valid=false</t>
  </si>
  <si>
    <t>{&amp;apos;error&amp;apos;: &amp;apos;Montant minimum non atteint.&amp;apos;, &amp;apos;minimum&amp;apos;: 20.0, &amp;apos;valid&amp;apos;: False}</t>
  </si>
  <si>
    <t>POST /api/coupons/validate -&gt; 200 {"error": "Montant minimum non atteint.", "minimum": 20.0, "valid": false}</t>
  </si>
  <si>
    <t>LIM-04</t>
  </si>
  <si>
    <t>Coupon exactement au minimum (20,00 €)</t>
  </si>
  <si>
    <t>Vérifier le minimum de coupon (pile au minimum)</t>
  </si>
  <si>
    <t>subtotal 20.00</t>
  </si>
  <si>
    <t>valid=true, discount=2.00</t>
  </si>
  <si>
    <t>{&amp;apos;code&amp;apos;: &amp;apos;WELCOME10&amp;apos;, &amp;apos;discount&amp;apos;: 2.0, &amp;apos;discount_percent&amp;apos;: 10.0, &amp;apos;valid&amp;apos;: True}</t>
  </si>
  <si>
    <t>POST /api/coupons/validate -&gt; 200 {"code": "WELCOME10", "discount": 2.0, "discount_percent": 10.0, "valid": true}</t>
  </si>
  <si>
    <t>LIM-05</t>
  </si>
  <si>
    <t>Plafond de réduction SAVE20 (20 % de 100 &gt; 12 €)</t>
  </si>
  <si>
    <t>Vérifier le plafond de réduction</t>
  </si>
  <si>
    <t>SAVE20 actif (20 %, plafond 12 €)</t>
  </si>
  <si>
    <t>subtotal 100</t>
  </si>
  <si>
    <t>discount plafonné à 12.00</t>
  </si>
  <si>
    <t>{&amp;apos;code&amp;apos;: &amp;apos;SAVE20&amp;apos;, &amp;apos;discount&amp;apos;: 12.0, &amp;apos;discount_percent&amp;apos;: 20.0, &amp;apos;valid&amp;apos;: True}</t>
  </si>
  <si>
    <t>POST /api/coupons/validate -&gt; 200 {"code": "SAVE20", "discount": 12.0, "discount_percent": 20.0, "valid": true}</t>
  </si>
  <si>
    <t>LIM-06</t>
  </si>
  <si>
    <t>Quantité 3 &gt; stock 2 (Salmon Bowl)</t>
  </si>
  <si>
    <t>Vérifier le contrôle du stock</t>
  </si>
  <si>
    <t>Salmon Bowl : stock = 2</t>
  </si>
  <si>
    <t>product_id 7, qté 3</t>
  </si>
  <si>
    <t>Refus (409/400) : stock insuffisant</t>
  </si>
  <si>
    <t>201</t>
  </si>
  <si>
    <t>POST /api/orders -&gt; 201 {"cash_received": null, "change_due": null, "created_at": "2026-10-11T15:46:41.217748", "delivery_fee": 3.49, "discount": 0.0, "id": 3, "items": [{"line_total": 47.7, "product_id": 7, "product_name": "Salmon Bowl", "quantity": 3, "unit_price": 15.9}], "payment_method": "card", "payment_status": "pai</t>
  </si>
  <si>
    <t>ERR-01</t>
  </si>
  <si>
    <t>Erreur</t>
  </si>
  <si>
    <t>API sans X-API-Key</t>
  </si>
  <si>
    <t>Vérifier le refus sans clé API</t>
  </si>
  <si>
    <t>Aucun header X-API-Key</t>
  </si>
  <si>
    <t>GET /api/restaurants</t>
  </si>
  <si>
    <t>401</t>
  </si>
  <si>
    <t>GET /api/restaurants -&gt; 401 {"error": "missing or invalid X-API-Key", "hint": "Use Swagger &gt; Authorize"}</t>
  </si>
  <si>
    <t>ERR-02</t>
  </si>
  <si>
    <t>API avec clé incorrecte</t>
  </si>
  <si>
    <t>Vérifier le refus avec clé invalide</t>
  </si>
  <si>
    <t>X-API-Key: mauvaise</t>
  </si>
  <si>
    <t>ERR-03</t>
  </si>
  <si>
    <t>Produit inexistant</t>
  </si>
  <si>
    <t>Vérifier la gestion d&amp;apos;un ID inexistant</t>
  </si>
  <si>
    <t>ID 9999</t>
  </si>
  <si>
    <t>GET /api/products/9999</t>
  </si>
  <si>
    <t>404</t>
  </si>
  <si>
    <t>GET /api/products/9999 -&gt; 404</t>
  </si>
  <si>
    <t>ERR-04</t>
  </si>
  <si>
    <t>Coupon expiré</t>
  </si>
  <si>
    <t>Vérifier le refus d&amp;apos;un coupon expiré</t>
  </si>
  <si>
    <t>EXPIRED10 expiré (seed)</t>
  </si>
  <si>
    <t>code EXPIRED10, subtotal 50</t>
  </si>
  <si>
    <t>valid=false / 404</t>
  </si>
  <si>
    <t>404 {&amp;apos;error&amp;apos;: &amp;apos;Coupon invalide ou expiré.&amp;apos;, &amp;apos;valid&amp;apos;: False}</t>
  </si>
  <si>
    <t>POST /api/coupons/validate -&gt; 404 {"error": "Coupon invalide ou expiré.", "valid": false}</t>
  </si>
  <si>
    <t>ERR-05</t>
  </si>
  <si>
    <t>Connexion avec mauvais mot de passe</t>
  </si>
  <si>
    <t>Vérifier le message d&amp;apos;erreur de connexion</t>
  </si>
  <si>
    <t>Compte alice existant</t>
  </si>
  <si>
    <t>alice@example.com / faux</t>
  </si>
  <si>
    <t>POST /login</t>
  </si>
  <si>
    <t>Message d&amp;apos;erreur, pas de session</t>
  </si>
  <si>
    <t>200, message présent=True</t>
  </si>
  <si>
    <t>POST /login -&gt; 200 + flash</t>
  </si>
  <si>
    <t>ERR-06</t>
  </si>
  <si>
    <t>Paiement espèces insuffisant (1 € pour 14,89 €)</t>
  </si>
  <si>
    <t>Vérifier le refus d&amp;apos;un paiement espèces insuffisant</t>
  </si>
  <si>
    <t>cash, cash_received 1, produit 1 (total 14,89 €)</t>
  </si>
  <si>
    <t>400 : montant insuffisant</t>
  </si>
  <si>
    <t>201, change_due=-13.89</t>
  </si>
  <si>
    <t xml:space="preserve">POST /api/orders -&gt; 201 {"cash_received": 1.0, "change_due": -13.89, "created_at": "2026-10-11T15:46:41.364032", "delivery_fee": 2.99, "discount": 0.0, "id": 4, "items": [{"line_total": 11.9, "product_id": 1, "product_name": "Classic Burger", "quantity": 1, "unit_price": 11.9}], "payment_method": "cash", "payment_status": </t>
  </si>
  <si>
    <t>REG-01</t>
  </si>
  <si>
    <t>Règle métier</t>
  </si>
  <si>
    <t>Commande dans un restaurant fermé (Night Sushi)</t>
  </si>
  <si>
    <t>Vérifier qu&amp;apos;un restaurant fermé n&amp;apos;accepte pas de commande</t>
  </si>
  <si>
    <t>Night Sushi is_open=false</t>
  </si>
  <si>
    <t>product_id 24 (Late Sushi Box), qté 1</t>
  </si>
  <si>
    <t>Refus (409/400)</t>
  </si>
  <si>
    <t xml:space="preserve">POST /api/orders -&gt; 201 {"cash_received": null, "change_due": null, "created_at": "2026-10-11T15:46:41.378780", "delivery_fee": 2.99, "discount": 0.0, "id": 5, "items": [{"line_total": 14.0, "product_id": 24, "product_name": "Late Sushi Box", "quantity": 1, "unit_price": 14.0}], "payment_method": "card", "payment_status": </t>
  </si>
  <si>
    <t>REG-02</t>
  </si>
  <si>
    <t>Minimum de commande Burger Factory = 20 € (commande de 3,50 €)</t>
  </si>
  <si>
    <t>Vérifier le minimum de commande du restaurant</t>
  </si>
  <si>
    <t>Burger Factory : minimum 20 €</t>
  </si>
  <si>
    <t>product_id 3 (Frites 3,50 €), qté 1</t>
  </si>
  <si>
    <t>Refus : minimum non atteint</t>
  </si>
  <si>
    <t>201, subtotal=3.5</t>
  </si>
  <si>
    <t>POST /api/orders -&gt; 201 {"cash_received": null, "change_due": null, "created_at": "2026-10-11T15:46:41.389522", "delivery_fee": 2.99, "discount": 0.0, "id": 6, "items": [{"line_total": 3.5, "product_id": 3, "product_name": "Frites maison", "quantity": 1, "unit_price": 3.5}], "payment_method": "card", "payment_status": "pai</t>
  </si>
  <si>
    <t>REG-03</t>
  </si>
  <si>
    <t>Paiement PayPal = une seule commande</t>
  </si>
  <si>
    <t>Vérifier qu&amp;apos;un paiement PayPal crée une seule commande</t>
  </si>
  <si>
    <t>produits 9 et 10, paypal</t>
  </si>
  <si>
    <t>GET /api/orders (count) ; POST /api/orders ; GET /api/orders (count)</t>
  </si>
  <si>
    <t>+1 commande</t>
  </si>
  <si>
    <t>+2 commandes (avant=6, après=8)</t>
  </si>
  <si>
    <t>POST /api/orders -&gt; 201 ; GET /api/orders count 6-&gt;8</t>
  </si>
  <si>
    <t>REG-04</t>
  </si>
  <si>
    <t>Le coupon doit se baser sur le panier réel, pas sur un montant client</t>
  </si>
  <si>
    <t>Vérifier que le coupon ne se base pas sur un montant arbitraire</t>
  </si>
  <si>
    <t>subtotal 100000 (aucun panier)</t>
  </si>
  <si>
    <t>Montant non fourni par le client / refus</t>
  </si>
  <si>
    <t>Accepte subtotal=100000 : {&amp;apos;code&amp;apos;: &amp;apos;WELCOME10&amp;apos;, &amp;apos;discount&amp;apos;: 8.0, &amp;apos;discount_percent&amp;apos;: 10.0, &amp;apos;valid&amp;apos;: True}</t>
  </si>
  <si>
    <t>POST /api/coupons/validate -&gt; 200 {"code": "WELCOME10", "discount": 8.0, "discount_percent": 10.0, "valid": true}</t>
  </si>
  <si>
    <t>REG-05</t>
  </si>
  <si>
    <t>Produit en rupture (stock 0) non commandable</t>
  </si>
  <si>
    <t>Vérifier qu&amp;apos;un produit en rupture n&amp;apos;est pas commandable</t>
  </si>
  <si>
    <t>Veggie Burger : stock = 0</t>
  </si>
  <si>
    <t>product_id 4, qté 1</t>
  </si>
  <si>
    <t>Refus</t>
  </si>
  <si>
    <t>201, stock devient négatif</t>
  </si>
  <si>
    <t>POST /api/orders -&gt; 201 {"cash_received": null, "change_due": null, "created_at": "2026-10-11T15:46:41.425527", "delivery_fee": 2.99, "discount": 0.0, "id": 9, "items": [{"line_total": 12.9, "product_id": 4, "product_name": "Veggie Burger", "quantity": 1, "unit_price": 12.9}], "payment_method": "card", "payment_status": "p</t>
  </si>
  <si>
    <t>REG-06</t>
  </si>
  <si>
    <t>Transition de statut delivered -&gt; confirmed interdite</t>
  </si>
  <si>
    <t>Vérifier qu&amp;apos;une commande livrée ne revient pas à &amp;apos;confirmed&amp;apos;</t>
  </si>
  <si>
    <t>Compte admin, commande créée</t>
  </si>
  <si>
    <t>statuts delivered puis confirmed</t>
  </si>
  <si>
    <t>POST /admin/orders/&lt;id&gt;/status ×2 ; GET /api/orders/&lt;id&gt;</t>
  </si>
  <si>
    <t>Refus, statut reste delivered</t>
  </si>
  <si>
    <t>statut final = confirmed</t>
  </si>
  <si>
    <t>POST /admin/orders/10/status delivered puis confirmed ; GET /api/orders/10 -&gt; status=confirmed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</si>
</sst>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0" borderId="3" applyBorder="1" fontId="1" applyFont="1" fillId="2" applyFill="1" applyAlignment="1">
      <alignment horizontal="left"/>
    </xf>
    <xf xfId="0" numFmtId="0" borderId="3" applyBorder="1" fontId="2" applyFont="1" fillId="0" applyAlignment="1">
      <alignment horizontal="left"/>
    </xf>
    <xf xfId="0" numFmtId="0" borderId="3" applyBorder="1" fontId="2" applyFont="1" fillId="3" applyFill="1" applyAlignment="1">
      <alignment horizontal="left"/>
    </xf>
    <xf xfId="0" numFmtId="0" borderId="3" applyBorder="1" fontId="2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9.005" customWidth="1" bestFit="1"/>
    <col min="2" max="2" style="5" width="13.005" customWidth="1" bestFit="1"/>
    <col min="3" max="3" style="5" width="34.005" customWidth="1" bestFit="1"/>
    <col min="4" max="4" style="5" width="34.005" customWidth="1" bestFit="1"/>
    <col min="5" max="5" style="5" width="28.005" customWidth="1" bestFit="1"/>
    <col min="6" max="6" style="5" width="30.005" customWidth="1" bestFit="1"/>
    <col min="7" max="7" style="5" width="36.005" customWidth="1" bestFit="1"/>
    <col min="8" max="8" style="5" width="30.005" customWidth="1" bestFit="1"/>
    <col min="9" max="9" style="5" width="34.005" customWidth="1" bestFit="1"/>
    <col min="10" max="10" style="5" width="9.005" customWidth="1" bestFit="1"/>
    <col min="11" max="11" style="5" width="110.86214285714286" customWidth="1" bestFit="1"/>
  </cols>
  <sheetData>
    <row x14ac:dyDescent="0.25" r="1" customHeight="1" ht="19.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</row>
    <row x14ac:dyDescent="0.25" r="2" customHeight="1" ht="19.5">
      <c r="A2" s="8" t="s">
        <v>19</v>
      </c>
      <c r="B2" s="8" t="s">
        <v>20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9" t="s">
        <v>3</v>
      </c>
      <c r="K2" s="8" t="s">
        <v>28</v>
      </c>
    </row>
    <row x14ac:dyDescent="0.25" r="3" customHeight="1" ht="19.5">
      <c r="A3" s="8" t="s">
        <v>29</v>
      </c>
      <c r="B3" s="8" t="s">
        <v>20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27</v>
      </c>
      <c r="J3" s="9" t="s">
        <v>3</v>
      </c>
      <c r="K3" s="8" t="s">
        <v>36</v>
      </c>
    </row>
    <row x14ac:dyDescent="0.25" r="4" customHeight="1" ht="19.5">
      <c r="A4" s="8" t="s">
        <v>37</v>
      </c>
      <c r="B4" s="8" t="s">
        <v>20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  <c r="I4" s="8" t="s">
        <v>44</v>
      </c>
      <c r="J4" s="9" t="s">
        <v>3</v>
      </c>
      <c r="K4" s="8" t="s">
        <v>45</v>
      </c>
    </row>
    <row x14ac:dyDescent="0.25" r="5" customHeight="1" ht="19.5">
      <c r="A5" s="8" t="s">
        <v>46</v>
      </c>
      <c r="B5" s="8" t="s">
        <v>20</v>
      </c>
      <c r="C5" s="8" t="s">
        <v>47</v>
      </c>
      <c r="D5" s="8" t="s">
        <v>48</v>
      </c>
      <c r="E5" s="8" t="s">
        <v>49</v>
      </c>
      <c r="F5" s="8" t="s">
        <v>50</v>
      </c>
      <c r="G5" s="8" t="s">
        <v>51</v>
      </c>
      <c r="H5" s="8" t="s">
        <v>52</v>
      </c>
      <c r="I5" s="8" t="s">
        <v>53</v>
      </c>
      <c r="J5" s="9" t="s">
        <v>3</v>
      </c>
      <c r="K5" s="8" t="s">
        <v>54</v>
      </c>
    </row>
    <row x14ac:dyDescent="0.25" r="6" customHeight="1" ht="19.5">
      <c r="A6" s="8" t="s">
        <v>55</v>
      </c>
      <c r="B6" s="8" t="s">
        <v>20</v>
      </c>
      <c r="C6" s="8" t="s">
        <v>56</v>
      </c>
      <c r="D6" s="8" t="s">
        <v>57</v>
      </c>
      <c r="E6" s="8" t="s">
        <v>58</v>
      </c>
      <c r="F6" s="8" t="s">
        <v>59</v>
      </c>
      <c r="G6" s="8" t="s">
        <v>60</v>
      </c>
      <c r="H6" s="8" t="s">
        <v>61</v>
      </c>
      <c r="I6" s="8" t="s">
        <v>62</v>
      </c>
      <c r="J6" s="9" t="s">
        <v>3</v>
      </c>
      <c r="K6" s="8" t="s">
        <v>63</v>
      </c>
    </row>
    <row x14ac:dyDescent="0.25" r="7" customHeight="1" ht="19.5">
      <c r="A7" s="8" t="s">
        <v>64</v>
      </c>
      <c r="B7" s="8" t="s">
        <v>20</v>
      </c>
      <c r="C7" s="8" t="s">
        <v>65</v>
      </c>
      <c r="D7" s="8" t="s">
        <v>66</v>
      </c>
      <c r="E7" s="8" t="s">
        <v>67</v>
      </c>
      <c r="F7" s="8" t="s">
        <v>68</v>
      </c>
      <c r="G7" s="8" t="s">
        <v>69</v>
      </c>
      <c r="H7" s="8" t="s">
        <v>70</v>
      </c>
      <c r="I7" s="8" t="s">
        <v>71</v>
      </c>
      <c r="J7" s="9" t="s">
        <v>3</v>
      </c>
      <c r="K7" s="8" t="s">
        <v>72</v>
      </c>
    </row>
    <row x14ac:dyDescent="0.25" r="8" customHeight="1" ht="19.5">
      <c r="A8" s="8" t="s">
        <v>73</v>
      </c>
      <c r="B8" s="8" t="s">
        <v>74</v>
      </c>
      <c r="C8" s="8" t="s">
        <v>75</v>
      </c>
      <c r="D8" s="8" t="s">
        <v>76</v>
      </c>
      <c r="E8" s="8" t="s">
        <v>77</v>
      </c>
      <c r="F8" s="8" t="s">
        <v>78</v>
      </c>
      <c r="G8" s="8" t="s">
        <v>79</v>
      </c>
      <c r="H8" s="8" t="s">
        <v>80</v>
      </c>
      <c r="I8" s="8" t="s">
        <v>80</v>
      </c>
      <c r="J8" s="9" t="s">
        <v>3</v>
      </c>
      <c r="K8" s="8" t="s">
        <v>81</v>
      </c>
    </row>
    <row x14ac:dyDescent="0.25" r="9" customHeight="1" ht="19.5">
      <c r="A9" s="8" t="s">
        <v>82</v>
      </c>
      <c r="B9" s="8" t="s">
        <v>74</v>
      </c>
      <c r="C9" s="8" t="s">
        <v>83</v>
      </c>
      <c r="D9" s="8" t="s">
        <v>84</v>
      </c>
      <c r="E9" s="8" t="s">
        <v>77</v>
      </c>
      <c r="F9" s="8" t="s">
        <v>85</v>
      </c>
      <c r="G9" s="8" t="s">
        <v>79</v>
      </c>
      <c r="H9" s="8" t="s">
        <v>80</v>
      </c>
      <c r="I9" s="8" t="s">
        <v>80</v>
      </c>
      <c r="J9" s="9" t="s">
        <v>3</v>
      </c>
      <c r="K9" s="8" t="s">
        <v>81</v>
      </c>
    </row>
    <row x14ac:dyDescent="0.25" r="10" customHeight="1" ht="19.5">
      <c r="A10" s="8" t="s">
        <v>86</v>
      </c>
      <c r="B10" s="8" t="s">
        <v>74</v>
      </c>
      <c r="C10" s="8" t="s">
        <v>87</v>
      </c>
      <c r="D10" s="8" t="s">
        <v>88</v>
      </c>
      <c r="E10" s="8" t="s">
        <v>89</v>
      </c>
      <c r="F10" s="8" t="s">
        <v>90</v>
      </c>
      <c r="G10" s="8" t="s">
        <v>69</v>
      </c>
      <c r="H10" s="8" t="s">
        <v>91</v>
      </c>
      <c r="I10" s="8" t="s">
        <v>92</v>
      </c>
      <c r="J10" s="9" t="s">
        <v>3</v>
      </c>
      <c r="K10" s="8" t="s">
        <v>93</v>
      </c>
    </row>
    <row x14ac:dyDescent="0.25" r="11" customHeight="1" ht="19.5">
      <c r="A11" s="8" t="s">
        <v>94</v>
      </c>
      <c r="B11" s="8" t="s">
        <v>74</v>
      </c>
      <c r="C11" s="8" t="s">
        <v>95</v>
      </c>
      <c r="D11" s="8" t="s">
        <v>96</v>
      </c>
      <c r="E11" s="8" t="s">
        <v>89</v>
      </c>
      <c r="F11" s="8" t="s">
        <v>97</v>
      </c>
      <c r="G11" s="8" t="s">
        <v>69</v>
      </c>
      <c r="H11" s="8" t="s">
        <v>98</v>
      </c>
      <c r="I11" s="8" t="s">
        <v>99</v>
      </c>
      <c r="J11" s="9" t="s">
        <v>3</v>
      </c>
      <c r="K11" s="8" t="s">
        <v>100</v>
      </c>
    </row>
    <row x14ac:dyDescent="0.25" r="12" customHeight="1" ht="19.5">
      <c r="A12" s="8" t="s">
        <v>101</v>
      </c>
      <c r="B12" s="8" t="s">
        <v>74</v>
      </c>
      <c r="C12" s="8" t="s">
        <v>102</v>
      </c>
      <c r="D12" s="8" t="s">
        <v>103</v>
      </c>
      <c r="E12" s="8" t="s">
        <v>104</v>
      </c>
      <c r="F12" s="8" t="s">
        <v>105</v>
      </c>
      <c r="G12" s="8" t="s">
        <v>69</v>
      </c>
      <c r="H12" s="8" t="s">
        <v>106</v>
      </c>
      <c r="I12" s="8" t="s">
        <v>107</v>
      </c>
      <c r="J12" s="9" t="s">
        <v>3</v>
      </c>
      <c r="K12" s="8" t="s">
        <v>108</v>
      </c>
    </row>
    <row x14ac:dyDescent="0.25" r="13" customHeight="1" ht="19.5">
      <c r="A13" s="8" t="s">
        <v>109</v>
      </c>
      <c r="B13" s="8" t="s">
        <v>74</v>
      </c>
      <c r="C13" s="8" t="s">
        <v>110</v>
      </c>
      <c r="D13" s="8" t="s">
        <v>111</v>
      </c>
      <c r="E13" s="8" t="s">
        <v>112</v>
      </c>
      <c r="F13" s="8" t="s">
        <v>113</v>
      </c>
      <c r="G13" s="8" t="s">
        <v>79</v>
      </c>
      <c r="H13" s="8" t="s">
        <v>114</v>
      </c>
      <c r="I13" s="8" t="s">
        <v>115</v>
      </c>
      <c r="J13" s="10" t="s">
        <v>4</v>
      </c>
      <c r="K13" s="8" t="s">
        <v>116</v>
      </c>
    </row>
    <row x14ac:dyDescent="0.25" r="14" customHeight="1" ht="19.5">
      <c r="A14" s="8" t="s">
        <v>117</v>
      </c>
      <c r="B14" s="8" t="s">
        <v>118</v>
      </c>
      <c r="C14" s="8" t="s">
        <v>119</v>
      </c>
      <c r="D14" s="8" t="s">
        <v>120</v>
      </c>
      <c r="E14" s="8" t="s">
        <v>41</v>
      </c>
      <c r="F14" s="8" t="s">
        <v>121</v>
      </c>
      <c r="G14" s="8" t="s">
        <v>122</v>
      </c>
      <c r="H14" s="8" t="s">
        <v>123</v>
      </c>
      <c r="I14" s="8" t="s">
        <v>123</v>
      </c>
      <c r="J14" s="9" t="s">
        <v>3</v>
      </c>
      <c r="K14" s="8" t="s">
        <v>124</v>
      </c>
    </row>
    <row x14ac:dyDescent="0.25" r="15" customHeight="1" ht="19.5">
      <c r="A15" s="8" t="s">
        <v>125</v>
      </c>
      <c r="B15" s="8" t="s">
        <v>118</v>
      </c>
      <c r="C15" s="8" t="s">
        <v>126</v>
      </c>
      <c r="D15" s="8" t="s">
        <v>127</v>
      </c>
      <c r="E15" s="8" t="s">
        <v>41</v>
      </c>
      <c r="F15" s="8" t="s">
        <v>128</v>
      </c>
      <c r="G15" s="8" t="s">
        <v>122</v>
      </c>
      <c r="H15" s="8" t="s">
        <v>123</v>
      </c>
      <c r="I15" s="8" t="s">
        <v>123</v>
      </c>
      <c r="J15" s="9" t="s">
        <v>3</v>
      </c>
      <c r="K15" s="8" t="s">
        <v>124</v>
      </c>
    </row>
    <row x14ac:dyDescent="0.25" r="16" customHeight="1" ht="19.5">
      <c r="A16" s="8" t="s">
        <v>129</v>
      </c>
      <c r="B16" s="8" t="s">
        <v>118</v>
      </c>
      <c r="C16" s="8" t="s">
        <v>130</v>
      </c>
      <c r="D16" s="8" t="s">
        <v>131</v>
      </c>
      <c r="E16" s="8" t="s">
        <v>77</v>
      </c>
      <c r="F16" s="8" t="s">
        <v>132</v>
      </c>
      <c r="G16" s="8" t="s">
        <v>133</v>
      </c>
      <c r="H16" s="8" t="s">
        <v>134</v>
      </c>
      <c r="I16" s="8" t="s">
        <v>134</v>
      </c>
      <c r="J16" s="9" t="s">
        <v>3</v>
      </c>
      <c r="K16" s="8" t="s">
        <v>135</v>
      </c>
    </row>
    <row x14ac:dyDescent="0.25" r="17" customHeight="1" ht="19.5">
      <c r="A17" s="8" t="s">
        <v>136</v>
      </c>
      <c r="B17" s="8" t="s">
        <v>118</v>
      </c>
      <c r="C17" s="8" t="s">
        <v>137</v>
      </c>
      <c r="D17" s="8" t="s">
        <v>138</v>
      </c>
      <c r="E17" s="8" t="s">
        <v>139</v>
      </c>
      <c r="F17" s="8" t="s">
        <v>140</v>
      </c>
      <c r="G17" s="8" t="s">
        <v>69</v>
      </c>
      <c r="H17" s="8" t="s">
        <v>141</v>
      </c>
      <c r="I17" s="8" t="s">
        <v>142</v>
      </c>
      <c r="J17" s="9" t="s">
        <v>3</v>
      </c>
      <c r="K17" s="8" t="s">
        <v>143</v>
      </c>
    </row>
    <row x14ac:dyDescent="0.25" r="18" customHeight="1" ht="19.5">
      <c r="A18" s="8" t="s">
        <v>144</v>
      </c>
      <c r="B18" s="8" t="s">
        <v>118</v>
      </c>
      <c r="C18" s="8" t="s">
        <v>145</v>
      </c>
      <c r="D18" s="8" t="s">
        <v>146</v>
      </c>
      <c r="E18" s="8" t="s">
        <v>147</v>
      </c>
      <c r="F18" s="8" t="s">
        <v>148</v>
      </c>
      <c r="G18" s="8" t="s">
        <v>149</v>
      </c>
      <c r="H18" s="8" t="s">
        <v>150</v>
      </c>
      <c r="I18" s="8" t="s">
        <v>151</v>
      </c>
      <c r="J18" s="9" t="s">
        <v>3</v>
      </c>
      <c r="K18" s="8" t="s">
        <v>152</v>
      </c>
    </row>
    <row x14ac:dyDescent="0.25" r="19" customHeight="1" ht="19.5">
      <c r="A19" s="8" t="s">
        <v>153</v>
      </c>
      <c r="B19" s="8" t="s">
        <v>118</v>
      </c>
      <c r="C19" s="8" t="s">
        <v>154</v>
      </c>
      <c r="D19" s="8" t="s">
        <v>155</v>
      </c>
      <c r="E19" s="8" t="s">
        <v>77</v>
      </c>
      <c r="F19" s="8" t="s">
        <v>156</v>
      </c>
      <c r="G19" s="8" t="s">
        <v>79</v>
      </c>
      <c r="H19" s="8" t="s">
        <v>157</v>
      </c>
      <c r="I19" s="8" t="s">
        <v>158</v>
      </c>
      <c r="J19" s="10" t="s">
        <v>4</v>
      </c>
      <c r="K19" s="8" t="s">
        <v>159</v>
      </c>
    </row>
    <row x14ac:dyDescent="0.25" r="20" customHeight="1" ht="19.5">
      <c r="A20" s="8" t="s">
        <v>160</v>
      </c>
      <c r="B20" s="8" t="s">
        <v>161</v>
      </c>
      <c r="C20" s="8" t="s">
        <v>162</v>
      </c>
      <c r="D20" s="8" t="s">
        <v>163</v>
      </c>
      <c r="E20" s="8" t="s">
        <v>164</v>
      </c>
      <c r="F20" s="8" t="s">
        <v>165</v>
      </c>
      <c r="G20" s="8" t="s">
        <v>79</v>
      </c>
      <c r="H20" s="8" t="s">
        <v>166</v>
      </c>
      <c r="I20" s="8" t="s">
        <v>115</v>
      </c>
      <c r="J20" s="10" t="s">
        <v>4</v>
      </c>
      <c r="K20" s="8" t="s">
        <v>167</v>
      </c>
    </row>
    <row x14ac:dyDescent="0.25" r="21" customHeight="1" ht="19.5">
      <c r="A21" s="8" t="s">
        <v>168</v>
      </c>
      <c r="B21" s="8" t="s">
        <v>161</v>
      </c>
      <c r="C21" s="8" t="s">
        <v>169</v>
      </c>
      <c r="D21" s="8" t="s">
        <v>170</v>
      </c>
      <c r="E21" s="8" t="s">
        <v>171</v>
      </c>
      <c r="F21" s="8" t="s">
        <v>172</v>
      </c>
      <c r="G21" s="8" t="s">
        <v>79</v>
      </c>
      <c r="H21" s="8" t="s">
        <v>173</v>
      </c>
      <c r="I21" s="8" t="s">
        <v>174</v>
      </c>
      <c r="J21" s="10" t="s">
        <v>4</v>
      </c>
      <c r="K21" s="8" t="s">
        <v>175</v>
      </c>
    </row>
    <row x14ac:dyDescent="0.25" r="22" customHeight="1" ht="19.5">
      <c r="A22" s="8" t="s">
        <v>176</v>
      </c>
      <c r="B22" s="8" t="s">
        <v>161</v>
      </c>
      <c r="C22" s="8" t="s">
        <v>177</v>
      </c>
      <c r="D22" s="8" t="s">
        <v>178</v>
      </c>
      <c r="E22" s="8" t="s">
        <v>77</v>
      </c>
      <c r="F22" s="8" t="s">
        <v>179</v>
      </c>
      <c r="G22" s="8" t="s">
        <v>180</v>
      </c>
      <c r="H22" s="8" t="s">
        <v>181</v>
      </c>
      <c r="I22" s="8" t="s">
        <v>182</v>
      </c>
      <c r="J22" s="10" t="s">
        <v>4</v>
      </c>
      <c r="K22" s="8" t="s">
        <v>183</v>
      </c>
    </row>
    <row x14ac:dyDescent="0.25" r="23" customHeight="1" ht="19.5">
      <c r="A23" s="8" t="s">
        <v>184</v>
      </c>
      <c r="B23" s="8" t="s">
        <v>161</v>
      </c>
      <c r="C23" s="8" t="s">
        <v>185</v>
      </c>
      <c r="D23" s="8" t="s">
        <v>186</v>
      </c>
      <c r="E23" s="8" t="s">
        <v>89</v>
      </c>
      <c r="F23" s="8" t="s">
        <v>187</v>
      </c>
      <c r="G23" s="8" t="s">
        <v>69</v>
      </c>
      <c r="H23" s="8" t="s">
        <v>188</v>
      </c>
      <c r="I23" s="8" t="s">
        <v>189</v>
      </c>
      <c r="J23" s="10" t="s">
        <v>4</v>
      </c>
      <c r="K23" s="8" t="s">
        <v>190</v>
      </c>
    </row>
    <row x14ac:dyDescent="0.25" r="24" customHeight="1" ht="19.5">
      <c r="A24" s="8" t="s">
        <v>191</v>
      </c>
      <c r="B24" s="8" t="s">
        <v>161</v>
      </c>
      <c r="C24" s="8" t="s">
        <v>192</v>
      </c>
      <c r="D24" s="8" t="s">
        <v>193</v>
      </c>
      <c r="E24" s="8" t="s">
        <v>194</v>
      </c>
      <c r="F24" s="8" t="s">
        <v>195</v>
      </c>
      <c r="G24" s="8" t="s">
        <v>79</v>
      </c>
      <c r="H24" s="8" t="s">
        <v>196</v>
      </c>
      <c r="I24" s="8" t="s">
        <v>197</v>
      </c>
      <c r="J24" s="10" t="s">
        <v>4</v>
      </c>
      <c r="K24" s="8" t="s">
        <v>198</v>
      </c>
    </row>
    <row x14ac:dyDescent="0.25" r="25" customHeight="1" ht="19.5">
      <c r="A25" s="8" t="s">
        <v>199</v>
      </c>
      <c r="B25" s="8" t="s">
        <v>161</v>
      </c>
      <c r="C25" s="8" t="s">
        <v>200</v>
      </c>
      <c r="D25" s="8" t="s">
        <v>201</v>
      </c>
      <c r="E25" s="8" t="s">
        <v>202</v>
      </c>
      <c r="F25" s="8" t="s">
        <v>203</v>
      </c>
      <c r="G25" s="8" t="s">
        <v>204</v>
      </c>
      <c r="H25" s="8" t="s">
        <v>205</v>
      </c>
      <c r="I25" s="8" t="s">
        <v>206</v>
      </c>
      <c r="J25" s="10" t="s">
        <v>4</v>
      </c>
      <c r="K25" s="8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5" width="20.005" customWidth="1" bestFit="1"/>
    <col min="2" max="2" style="6" width="12.005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9.5">
      <c r="A2" s="2" t="s">
        <v>2</v>
      </c>
      <c r="B2" s="3">
        <f>COUNTA(&amp;apos;Cas de test&amp;apos;!J2:J25)</f>
      </c>
    </row>
    <row x14ac:dyDescent="0.25" r="3" customHeight="1" ht="19.5">
      <c r="A3" s="2" t="s">
        <v>3</v>
      </c>
      <c r="B3" s="3">
        <f>COUNTIF(&amp;apos;Cas de test&amp;apos;!J2:J25,"Pass")</f>
      </c>
    </row>
    <row x14ac:dyDescent="0.25" r="4" customHeight="1" ht="19.5">
      <c r="A4" s="2" t="s">
        <v>4</v>
      </c>
      <c r="B4" s="3">
        <f>COUNTIF(&amp;apos;Cas de test&amp;apos;!J2:J25,"Fail")</f>
      </c>
    </row>
    <row x14ac:dyDescent="0.25" r="5" customHeight="1" ht="19.5">
      <c r="A5" s="2" t="s">
        <v>5</v>
      </c>
      <c r="B5" s="3">
        <f>COUNTIF(&amp;apos;Cas de test&amp;apos;!J2:J25,"Blocked")</f>
      </c>
    </row>
    <row x14ac:dyDescent="0.25" r="6" customHeight="1" ht="19.5">
      <c r="A6" s="2" t="s">
        <v>6</v>
      </c>
      <c r="B6" s="3">
        <f>COUNTIF(&amp;apos;Cas de test&amp;apos;!J2:J25,"Skipped")</f>
      </c>
    </row>
    <row x14ac:dyDescent="0.25" r="7" customHeight="1" ht="19.5">
      <c r="A7" s="2" t="s">
        <v>7</v>
      </c>
      <c r="B7" s="4">
        <f>B3/B2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Cas de test</vt:lpstr>
      <vt:lpstr>Synthèse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2026-10-11T17:07:43.158Z</dcterms:created>
  <dcterms:modified xsi:type="dcterms:W3CDTF">2026-10-11T17:07:43.158Z</dcterms:modified>
</cp:coreProperties>
</file>